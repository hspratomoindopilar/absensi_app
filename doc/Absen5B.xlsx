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OMOSTUFF\app_absensi\doc\"/>
    </mc:Choice>
  </mc:AlternateContent>
  <xr:revisionPtr revIDLastSave="0" documentId="8_{39FDFB40-68B7-4621-9213-4AADF551B586}" xr6:coauthVersionLast="47" xr6:coauthVersionMax="47" xr10:uidLastSave="{00000000-0000-0000-0000-000000000000}"/>
  <bookViews>
    <workbookView xWindow="-120" yWindow="-120" windowWidth="20730" windowHeight="11160" xr2:uid="{309E7A1C-6895-4304-9800-D84857AAE52C}"/>
  </bookViews>
  <sheets>
    <sheet name="AbsenJul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7" i="1" l="1"/>
  <c r="J43" i="1"/>
  <c r="AI37" i="1"/>
  <c r="AI36" i="1"/>
  <c r="AJ36" i="1" s="1"/>
  <c r="AI35" i="1"/>
  <c r="AI34" i="1"/>
  <c r="AJ34" i="1" s="1"/>
  <c r="AI33" i="1"/>
  <c r="AI32" i="1"/>
  <c r="AJ32" i="1" s="1"/>
  <c r="AI31" i="1"/>
  <c r="AI30" i="1"/>
  <c r="AJ30" i="1" s="1"/>
  <c r="AI29" i="1"/>
  <c r="AI28" i="1"/>
  <c r="AJ28" i="1" s="1"/>
  <c r="AI27" i="1"/>
  <c r="AI26" i="1"/>
  <c r="AI25" i="1"/>
  <c r="AJ25" i="1" s="1"/>
  <c r="AI24" i="1"/>
  <c r="AI23" i="1"/>
  <c r="AJ23" i="1" s="1"/>
  <c r="AI22" i="1"/>
  <c r="AI21" i="1"/>
  <c r="AJ21" i="1" s="1"/>
  <c r="AI20" i="1"/>
  <c r="AI19" i="1"/>
  <c r="AI18" i="1"/>
  <c r="AI17" i="1"/>
  <c r="AJ17" i="1" s="1"/>
  <c r="AI16" i="1"/>
  <c r="AI15" i="1"/>
  <c r="AJ15" i="1" s="1"/>
  <c r="AI14" i="1"/>
  <c r="AI13" i="1"/>
  <c r="AI12" i="1"/>
  <c r="AI11" i="1"/>
  <c r="AI10" i="1"/>
  <c r="AI9" i="1"/>
  <c r="AI8" i="1"/>
  <c r="AJ8" i="1" s="1"/>
  <c r="AI7" i="1"/>
  <c r="AJ10" i="1" l="1"/>
  <c r="AJ13" i="1"/>
  <c r="AJ16" i="1"/>
  <c r="AK16" i="1" s="1"/>
  <c r="AL16" i="1" s="1"/>
  <c r="AJ19" i="1"/>
  <c r="AJ22" i="1"/>
  <c r="AK22" i="1" s="1"/>
  <c r="AL22" i="1" s="1"/>
  <c r="AK8" i="1"/>
  <c r="AK13" i="1"/>
  <c r="AL13" i="1" s="1"/>
  <c r="AK15" i="1"/>
  <c r="AL15" i="1" s="1"/>
  <c r="AK17" i="1"/>
  <c r="AK21" i="1"/>
  <c r="AL21" i="1" s="1"/>
  <c r="AK23" i="1"/>
  <c r="AK25" i="1"/>
  <c r="AK28" i="1"/>
  <c r="AL28" i="1" s="1"/>
  <c r="AK30" i="1"/>
  <c r="AK32" i="1"/>
  <c r="AL32" i="1" s="1"/>
  <c r="AK34" i="1"/>
  <c r="AK36" i="1"/>
  <c r="AL36" i="1" s="1"/>
  <c r="AL8" i="1"/>
  <c r="AL17" i="1"/>
  <c r="AL23" i="1"/>
  <c r="AL25" i="1"/>
  <c r="AL30" i="1"/>
  <c r="AL34" i="1"/>
  <c r="AI38" i="1"/>
  <c r="U40" i="1" s="1"/>
  <c r="X41" i="1" s="1"/>
  <c r="AJ11" i="1"/>
  <c r="AJ14" i="1"/>
  <c r="AK14" i="1" s="1"/>
  <c r="AL14" i="1" s="1"/>
  <c r="AJ18" i="1"/>
  <c r="AK18" i="1" s="1"/>
  <c r="AL18" i="1" s="1"/>
  <c r="AJ24" i="1"/>
  <c r="AK24" i="1" s="1"/>
  <c r="AJ26" i="1"/>
  <c r="AK26" i="1" s="1"/>
  <c r="AJ27" i="1"/>
  <c r="AK27" i="1" s="1"/>
  <c r="AL27" i="1" s="1"/>
  <c r="AJ29" i="1"/>
  <c r="AK29" i="1" s="1"/>
  <c r="AJ31" i="1"/>
  <c r="AJ33" i="1"/>
  <c r="AK33" i="1" s="1"/>
  <c r="AJ35" i="1"/>
  <c r="AK35" i="1" s="1"/>
  <c r="AL35" i="1" s="1"/>
  <c r="AJ37" i="1"/>
  <c r="AK37" i="1" s="1"/>
  <c r="AI40" i="1"/>
  <c r="AJ7" i="1"/>
  <c r="AK7" i="1" s="1"/>
  <c r="AJ9" i="1"/>
  <c r="AJ12" i="1"/>
  <c r="AK12" i="1" s="1"/>
  <c r="AJ20" i="1"/>
  <c r="AK20" i="1" s="1"/>
  <c r="AL10" i="1" l="1"/>
  <c r="AL12" i="1"/>
  <c r="AL7" i="1"/>
  <c r="AK11" i="1"/>
  <c r="AL11" i="1" s="1"/>
  <c r="AL37" i="1"/>
  <c r="AL33" i="1"/>
  <c r="AL29" i="1"/>
  <c r="AK19" i="1"/>
  <c r="AL19" i="1" s="1"/>
  <c r="AK10" i="1"/>
  <c r="AK31" i="1"/>
  <c r="AL31" i="1" s="1"/>
  <c r="AK9" i="1"/>
  <c r="AK38" i="1" s="1"/>
  <c r="AL26" i="1"/>
  <c r="AL24" i="1"/>
  <c r="AL20" i="1"/>
  <c r="AJ38" i="1"/>
  <c r="AJ40" i="1" s="1"/>
  <c r="U43" i="1" s="1"/>
  <c r="X44" i="1" s="1"/>
  <c r="AL9" i="1" l="1"/>
  <c r="AK40" i="1"/>
  <c r="U46" i="1" s="1"/>
  <c r="AL38" i="1"/>
  <c r="AL40" i="1" s="1"/>
</calcChain>
</file>

<file path=xl/sharedStrings.xml><?xml version="1.0" encoding="utf-8"?>
<sst xmlns="http://schemas.openxmlformats.org/spreadsheetml/2006/main" count="533" uniqueCount="60">
  <si>
    <t>DAFTAR HADIR KELAS  5B</t>
  </si>
  <si>
    <t>TAHUN PELAJARAN 2026-2027</t>
  </si>
  <si>
    <t>SDN RAGUNAN 01</t>
  </si>
  <si>
    <t>NO</t>
  </si>
  <si>
    <t>NIS</t>
  </si>
  <si>
    <t>NAMA SISWA</t>
  </si>
  <si>
    <t>JULi 2026</t>
  </si>
  <si>
    <t>KETERANGAN</t>
  </si>
  <si>
    <t>Jumlah</t>
  </si>
  <si>
    <t>S</t>
  </si>
  <si>
    <t>I</t>
  </si>
  <si>
    <t>A</t>
  </si>
  <si>
    <t>Adellya Iswanti</t>
  </si>
  <si>
    <t>.</t>
  </si>
  <si>
    <t>Alexa Zhafira Riani</t>
  </si>
  <si>
    <t>s</t>
  </si>
  <si>
    <t>Alika Islamahyra</t>
  </si>
  <si>
    <t>Anaya Shakila Maulana</t>
  </si>
  <si>
    <t>Askhalfah Deva Badilah</t>
  </si>
  <si>
    <t>Bastian Aldrin Prasetia</t>
  </si>
  <si>
    <t xml:space="preserve">Denthia Indira </t>
  </si>
  <si>
    <t>Fattahriandi</t>
  </si>
  <si>
    <t>Flo Bebbyza Zena Zelina</t>
  </si>
  <si>
    <t>Gadiza Aulia Zifarah</t>
  </si>
  <si>
    <t>Habibi Ramdhan</t>
  </si>
  <si>
    <t>Harumi Chavali Siregar</t>
  </si>
  <si>
    <t>Hiroshi Alvaronizam Khawarizmi Putra</t>
  </si>
  <si>
    <t>Ibrahim Anugrah Ramadhan</t>
  </si>
  <si>
    <t>Ikhwan Aziz</t>
  </si>
  <si>
    <t>Jihan Putri Pratama</t>
  </si>
  <si>
    <t>Khaira Fredella Shanum</t>
  </si>
  <si>
    <t>Khairan Aqil Fatoni</t>
  </si>
  <si>
    <t>Maxum Mustajab.</t>
  </si>
  <si>
    <t>Mochammad Razkha Alfatih</t>
  </si>
  <si>
    <t xml:space="preserve">Muhammad Devander Robizidni </t>
  </si>
  <si>
    <t>Muhammad Hauzan Sakhi</t>
  </si>
  <si>
    <t>Nabila Chalisah Ramadani</t>
  </si>
  <si>
    <t>Nia Rahmawati</t>
  </si>
  <si>
    <t>Radhitya Indra Perdana Putra</t>
  </si>
  <si>
    <t>Rhaya Drathistyana</t>
  </si>
  <si>
    <t>Rokhmanul Khaqim</t>
  </si>
  <si>
    <t>Zahdan Altifaro</t>
  </si>
  <si>
    <t xml:space="preserve">Zahirah Alifathul Izzati </t>
  </si>
  <si>
    <t>Zahra Lidia</t>
  </si>
  <si>
    <t>Zahran Altifaro</t>
  </si>
  <si>
    <t>Kepala Sekolah,</t>
  </si>
  <si>
    <t>SDN RAGUNAN 01 PAGI</t>
  </si>
  <si>
    <t>=</t>
  </si>
  <si>
    <t>Jakarta, 31 Juli  2026</t>
  </si>
  <si>
    <t xml:space="preserve">Laki-laki    </t>
  </si>
  <si>
    <t xml:space="preserve"> 31 x </t>
  </si>
  <si>
    <t>%</t>
  </si>
  <si>
    <t xml:space="preserve"> Guru Kelas, VB</t>
  </si>
  <si>
    <t>Perempuan</t>
  </si>
  <si>
    <t xml:space="preserve"> 31 x 15 </t>
  </si>
  <si>
    <t>Saadiatul Munawwaroh, M.Pd</t>
  </si>
  <si>
    <t>Nugroho,S.Pd</t>
  </si>
  <si>
    <t xml:space="preserve"> NIP. 1967602072008012014</t>
  </si>
  <si>
    <t>NIP. 198302162022211003</t>
  </si>
  <si>
    <t xml:space="preserve"> 31 x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</si>
</sst>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ptos Narrow"/>
      <family val="2"/>
      <charset val="1"/>
      <scheme val="minor"/>
    </font>
    <font>
      <sz val="12"/>
      <color rgb="FFFF0000"/>
      <name val="Arial"/>
      <family val="2"/>
    </font>
    <font>
      <b/>
      <sz val="12"/>
      <color theme="0" tint="-0.14999847407452621"/>
      <name val="Arial"/>
      <family val="2"/>
    </font>
    <font>
      <sz val="12"/>
      <color theme="1"/>
      <name val="Arial"/>
      <family val="2"/>
    </font>
    <font>
      <sz val="10"/>
      <name val="Arial Narrow"/>
      <family val="2"/>
    </font>
    <font>
      <u/>
      <sz val="11"/>
      <color theme="1"/>
      <name val="Aptos Narrow"/>
      <family val="2"/>
      <scheme val="minor"/>
    </font>
    <font>
      <b/>
      <sz val="10"/>
      <color theme="0" tint="-4.9989318521683403E-2"/>
      <name val="Arial Narrow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6" fillId="3" borderId="13" xfId="1" applyFont="1" applyFill="1" applyBorder="1" applyAlignment="1">
      <alignment horizontal="center" wrapText="1"/>
    </xf>
    <xf numFmtId="0" fontId="6" fillId="4" borderId="13" xfId="1" applyFont="1" applyFill="1" applyBorder="1" applyAlignment="1">
      <alignment horizontal="center" wrapText="1"/>
    </xf>
    <xf numFmtId="0" fontId="9" fillId="4" borderId="13" xfId="1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6" fillId="0" borderId="15" xfId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3" borderId="16" xfId="1" applyFont="1" applyFill="1" applyBorder="1" applyAlignment="1">
      <alignment horizontal="center" wrapText="1"/>
    </xf>
    <xf numFmtId="0" fontId="10" fillId="0" borderId="3" xfId="0" applyFont="1" applyBorder="1" applyAlignment="1">
      <alignment horizontal="left" vertical="center"/>
    </xf>
    <xf numFmtId="0" fontId="11" fillId="4" borderId="14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center"/>
    </xf>
  </cellXfs>
  <cellStyles count="2">
    <cellStyle name="Normal" xfId="0" builtinId="0"/>
    <cellStyle name="Normal 2" xfId="1" xr:uid="{A1BFDB89-63A6-4230-92F4-89B79A042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D7F-B16A-4778-B306-BCD823668788}">
  <dimension ref="A1:AL48"/>
  <sheetViews>
    <sheetView tabSelected="1" workbookViewId="0">
      <selection activeCell="G15" sqref="G15"/>
    </sheetView>
  </sheetViews>
  <sheetFormatPr defaultRowHeight="15" x14ac:dyDescent="0.25"/>
  <cols>
    <col min="1" max="1" width="3.7109375" customWidth="1"/>
    <col min="2" max="2" width="4.7109375" customWidth="1"/>
    <col min="3" max="3" width="35.5703125" customWidth="1"/>
    <col min="4" max="34" width="4" customWidth="1"/>
    <col min="35" max="38" width="5.7109375" customWidth="1"/>
  </cols>
  <sheetData>
    <row r="1" spans="1:38" ht="16.899999999999999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6.899999999999999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899999999999999" customHeigh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4.9000000000000004" customHeight="1" thickBot="1" x14ac:dyDescent="0.3"/>
    <row r="5" spans="1:38" ht="16.899999999999999" customHeight="1" x14ac:dyDescent="0.25">
      <c r="A5" s="2" t="s">
        <v>3</v>
      </c>
      <c r="B5" s="2" t="s">
        <v>4</v>
      </c>
      <c r="C5" s="2" t="s">
        <v>5</v>
      </c>
      <c r="D5" s="3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 t="s">
        <v>7</v>
      </c>
      <c r="AJ5" s="6"/>
      <c r="AK5" s="6"/>
      <c r="AL5" s="7" t="s">
        <v>8</v>
      </c>
    </row>
    <row r="6" spans="1:38" ht="16.899999999999999" customHeight="1" thickBot="1" x14ac:dyDescent="0.3">
      <c r="A6" s="8"/>
      <c r="B6" s="8"/>
      <c r="C6" s="8"/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10" t="s">
        <v>9</v>
      </c>
      <c r="AJ6" s="11" t="s">
        <v>10</v>
      </c>
      <c r="AK6" s="11" t="s">
        <v>11</v>
      </c>
      <c r="AL6" s="12"/>
    </row>
    <row r="7" spans="1:38" ht="15" customHeight="1" thickTop="1" x14ac:dyDescent="0.25">
      <c r="A7" s="13">
        <v>1</v>
      </c>
      <c r="B7" s="14"/>
      <c r="C7" s="15" t="s">
        <v>12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 t="s">
        <v>13</v>
      </c>
      <c r="Q7" s="17" t="s">
        <v>13</v>
      </c>
      <c r="R7" s="17" t="s">
        <v>13</v>
      </c>
      <c r="S7" s="17" t="s">
        <v>13</v>
      </c>
      <c r="T7" s="17" t="s">
        <v>13</v>
      </c>
      <c r="U7" s="16"/>
      <c r="V7" s="16"/>
      <c r="W7" s="17" t="s">
        <v>13</v>
      </c>
      <c r="X7" s="17" t="s">
        <v>13</v>
      </c>
      <c r="Y7" s="17" t="s">
        <v>13</v>
      </c>
      <c r="Z7" s="17" t="s">
        <v>13</v>
      </c>
      <c r="AA7" s="17" t="s">
        <v>13</v>
      </c>
      <c r="AB7" s="16"/>
      <c r="AC7" s="16"/>
      <c r="AD7" s="17" t="s">
        <v>13</v>
      </c>
      <c r="AE7" s="17" t="s">
        <v>13</v>
      </c>
      <c r="AF7" s="17" t="s">
        <v>13</v>
      </c>
      <c r="AG7" s="17" t="s">
        <v>13</v>
      </c>
      <c r="AH7" s="18" t="s">
        <v>13</v>
      </c>
      <c r="AI7" s="19">
        <f t="shared" ref="AI7:AI37" si="0">COUNTIF(D7:AH7,"s")</f>
        <v>0</v>
      </c>
      <c r="AJ7" s="19">
        <f t="shared" ref="AJ7:AJ37" si="1">COUNTIF(D7:AI7,"i")</f>
        <v>0</v>
      </c>
      <c r="AK7" s="19">
        <f t="shared" ref="AK7:AK37" si="2">COUNTIF(D7:AJ7,"a")</f>
        <v>0</v>
      </c>
      <c r="AL7" s="19">
        <f>+AI7+AJ7+AK7</f>
        <v>0</v>
      </c>
    </row>
    <row r="8" spans="1:38" ht="15" customHeight="1" x14ac:dyDescent="0.25">
      <c r="A8" s="20">
        <v>2</v>
      </c>
      <c r="B8" s="21"/>
      <c r="C8" s="22" t="s">
        <v>14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7" t="s">
        <v>13</v>
      </c>
      <c r="Q8" s="17" t="s">
        <v>13</v>
      </c>
      <c r="R8" s="17" t="s">
        <v>13</v>
      </c>
      <c r="S8" s="17" t="s">
        <v>13</v>
      </c>
      <c r="T8" s="17" t="s">
        <v>13</v>
      </c>
      <c r="U8" s="16"/>
      <c r="V8" s="23"/>
      <c r="W8" s="17" t="s">
        <v>13</v>
      </c>
      <c r="X8" s="17" t="s">
        <v>13</v>
      </c>
      <c r="Y8" s="17" t="s">
        <v>13</v>
      </c>
      <c r="Z8" s="17" t="s">
        <v>13</v>
      </c>
      <c r="AA8" s="17" t="s">
        <v>13</v>
      </c>
      <c r="AB8" s="16"/>
      <c r="AC8" s="23"/>
      <c r="AD8" s="17" t="s">
        <v>13</v>
      </c>
      <c r="AE8" s="17" t="s">
        <v>15</v>
      </c>
      <c r="AF8" s="17" t="s">
        <v>13</v>
      </c>
      <c r="AG8" s="17" t="s">
        <v>13</v>
      </c>
      <c r="AH8" s="18" t="s">
        <v>13</v>
      </c>
      <c r="AI8" s="19">
        <f t="shared" si="0"/>
        <v>1</v>
      </c>
      <c r="AJ8" s="19">
        <f t="shared" si="1"/>
        <v>0</v>
      </c>
      <c r="AK8" s="19">
        <f t="shared" si="2"/>
        <v>0</v>
      </c>
      <c r="AL8" s="19">
        <f>+AI8+AJ8+AK8</f>
        <v>1</v>
      </c>
    </row>
    <row r="9" spans="1:38" ht="15" customHeight="1" x14ac:dyDescent="0.25">
      <c r="A9" s="20">
        <v>3</v>
      </c>
      <c r="B9" s="21"/>
      <c r="C9" s="22" t="s">
        <v>16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 t="s">
        <v>13</v>
      </c>
      <c r="Q9" s="17" t="s">
        <v>13</v>
      </c>
      <c r="R9" s="17" t="s">
        <v>13</v>
      </c>
      <c r="S9" s="17" t="s">
        <v>13</v>
      </c>
      <c r="T9" s="17" t="s">
        <v>13</v>
      </c>
      <c r="U9" s="16"/>
      <c r="V9" s="16"/>
      <c r="W9" s="17" t="s">
        <v>13</v>
      </c>
      <c r="X9" s="17" t="s">
        <v>13</v>
      </c>
      <c r="Y9" s="17" t="s">
        <v>13</v>
      </c>
      <c r="Z9" s="17" t="s">
        <v>13</v>
      </c>
      <c r="AA9" s="17" t="s">
        <v>13</v>
      </c>
      <c r="AB9" s="16"/>
      <c r="AC9" s="16"/>
      <c r="AD9" s="17" t="s">
        <v>13</v>
      </c>
      <c r="AE9" s="17" t="s">
        <v>13</v>
      </c>
      <c r="AF9" s="17" t="s">
        <v>13</v>
      </c>
      <c r="AG9" s="17" t="s">
        <v>13</v>
      </c>
      <c r="AH9" s="18" t="s">
        <v>13</v>
      </c>
      <c r="AI9" s="19">
        <f t="shared" si="0"/>
        <v>0</v>
      </c>
      <c r="AJ9" s="19">
        <f t="shared" si="1"/>
        <v>0</v>
      </c>
      <c r="AK9" s="19">
        <f t="shared" si="2"/>
        <v>0</v>
      </c>
      <c r="AL9" s="19">
        <f t="shared" ref="AL9:AL37" si="3">+AI9+AJ9+AK9</f>
        <v>0</v>
      </c>
    </row>
    <row r="10" spans="1:38" ht="15" customHeight="1" x14ac:dyDescent="0.25">
      <c r="A10" s="20">
        <v>4</v>
      </c>
      <c r="B10" s="21"/>
      <c r="C10" s="22" t="s">
        <v>17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7" t="s">
        <v>13</v>
      </c>
      <c r="Q10" s="17" t="s">
        <v>13</v>
      </c>
      <c r="R10" s="17" t="s">
        <v>13</v>
      </c>
      <c r="S10" s="17" t="s">
        <v>13</v>
      </c>
      <c r="T10" s="17" t="s">
        <v>13</v>
      </c>
      <c r="U10" s="16"/>
      <c r="V10" s="23"/>
      <c r="W10" s="17" t="s">
        <v>13</v>
      </c>
      <c r="X10" s="17" t="s">
        <v>13</v>
      </c>
      <c r="Y10" s="17" t="s">
        <v>13</v>
      </c>
      <c r="Z10" s="17" t="s">
        <v>13</v>
      </c>
      <c r="AA10" s="17" t="s">
        <v>13</v>
      </c>
      <c r="AB10" s="16"/>
      <c r="AC10" s="23"/>
      <c r="AD10" s="17" t="s">
        <v>13</v>
      </c>
      <c r="AE10" s="17" t="s">
        <v>13</v>
      </c>
      <c r="AF10" s="17" t="s">
        <v>13</v>
      </c>
      <c r="AG10" s="17" t="s">
        <v>13</v>
      </c>
      <c r="AH10" s="18" t="s">
        <v>13</v>
      </c>
      <c r="AI10" s="19">
        <f t="shared" si="0"/>
        <v>0</v>
      </c>
      <c r="AJ10" s="19">
        <f t="shared" si="1"/>
        <v>0</v>
      </c>
      <c r="AK10" s="19">
        <f t="shared" si="2"/>
        <v>0</v>
      </c>
      <c r="AL10" s="19">
        <f t="shared" si="3"/>
        <v>0</v>
      </c>
    </row>
    <row r="11" spans="1:38" ht="15" customHeight="1" thickBot="1" x14ac:dyDescent="0.3">
      <c r="A11" s="20">
        <v>5</v>
      </c>
      <c r="B11" s="21"/>
      <c r="C11" s="24" t="s">
        <v>18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 t="s">
        <v>13</v>
      </c>
      <c r="Q11" s="17" t="s">
        <v>13</v>
      </c>
      <c r="R11" s="17" t="s">
        <v>13</v>
      </c>
      <c r="S11" s="17" t="s">
        <v>13</v>
      </c>
      <c r="T11" s="17" t="s">
        <v>13</v>
      </c>
      <c r="U11" s="16"/>
      <c r="V11" s="16"/>
      <c r="W11" s="17" t="s">
        <v>13</v>
      </c>
      <c r="X11" s="17" t="s">
        <v>13</v>
      </c>
      <c r="Y11" s="17" t="s">
        <v>13</v>
      </c>
      <c r="Z11" s="17" t="s">
        <v>13</v>
      </c>
      <c r="AA11" s="17" t="s">
        <v>13</v>
      </c>
      <c r="AB11" s="16"/>
      <c r="AC11" s="16"/>
      <c r="AD11" s="17" t="s">
        <v>13</v>
      </c>
      <c r="AE11" s="17" t="s">
        <v>13</v>
      </c>
      <c r="AF11" s="17" t="s">
        <v>13</v>
      </c>
      <c r="AG11" s="17" t="s">
        <v>13</v>
      </c>
      <c r="AH11" s="18" t="s">
        <v>13</v>
      </c>
      <c r="AI11" s="19">
        <f t="shared" si="0"/>
        <v>0</v>
      </c>
      <c r="AJ11" s="19">
        <f t="shared" si="1"/>
        <v>0</v>
      </c>
      <c r="AK11" s="19">
        <f t="shared" si="2"/>
        <v>0</v>
      </c>
      <c r="AL11" s="19">
        <f t="shared" si="3"/>
        <v>0</v>
      </c>
    </row>
    <row r="12" spans="1:38" ht="15" customHeight="1" x14ac:dyDescent="0.25">
      <c r="A12" s="13">
        <v>6</v>
      </c>
      <c r="B12" s="21"/>
      <c r="C12" s="24" t="s">
        <v>19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 t="s">
        <v>13</v>
      </c>
      <c r="Q12" s="17" t="s">
        <v>13</v>
      </c>
      <c r="R12" s="17" t="s">
        <v>13</v>
      </c>
      <c r="S12" s="17" t="s">
        <v>13</v>
      </c>
      <c r="T12" s="17" t="s">
        <v>13</v>
      </c>
      <c r="U12" s="16"/>
      <c r="V12" s="16"/>
      <c r="W12" s="17" t="s">
        <v>13</v>
      </c>
      <c r="X12" s="17" t="s">
        <v>13</v>
      </c>
      <c r="Y12" s="17" t="s">
        <v>13</v>
      </c>
      <c r="Z12" s="17" t="s">
        <v>13</v>
      </c>
      <c r="AA12" s="17" t="s">
        <v>13</v>
      </c>
      <c r="AB12" s="16"/>
      <c r="AC12" s="16"/>
      <c r="AD12" s="17" t="s">
        <v>13</v>
      </c>
      <c r="AE12" s="17" t="s">
        <v>13</v>
      </c>
      <c r="AF12" s="17" t="s">
        <v>13</v>
      </c>
      <c r="AG12" s="17" t="s">
        <v>13</v>
      </c>
      <c r="AH12" s="18" t="s">
        <v>13</v>
      </c>
      <c r="AI12" s="19">
        <f t="shared" si="0"/>
        <v>0</v>
      </c>
      <c r="AJ12" s="19">
        <f t="shared" si="1"/>
        <v>0</v>
      </c>
      <c r="AK12" s="19">
        <f t="shared" si="2"/>
        <v>0</v>
      </c>
      <c r="AL12" s="19">
        <f t="shared" si="3"/>
        <v>0</v>
      </c>
    </row>
    <row r="13" spans="1:38" ht="15" customHeight="1" x14ac:dyDescent="0.25">
      <c r="A13" s="20">
        <v>7</v>
      </c>
      <c r="B13" s="21"/>
      <c r="C13" s="22" t="s">
        <v>20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17" t="s">
        <v>13</v>
      </c>
      <c r="Q13" s="17" t="s">
        <v>13</v>
      </c>
      <c r="R13" s="17" t="s">
        <v>13</v>
      </c>
      <c r="S13" s="17" t="s">
        <v>15</v>
      </c>
      <c r="T13" s="17" t="s">
        <v>13</v>
      </c>
      <c r="U13" s="16"/>
      <c r="V13" s="23"/>
      <c r="W13" s="17" t="s">
        <v>13</v>
      </c>
      <c r="X13" s="17" t="s">
        <v>13</v>
      </c>
      <c r="Y13" s="17" t="s">
        <v>13</v>
      </c>
      <c r="Z13" s="17" t="s">
        <v>13</v>
      </c>
      <c r="AA13" s="17" t="s">
        <v>13</v>
      </c>
      <c r="AB13" s="16"/>
      <c r="AC13" s="23"/>
      <c r="AD13" s="17" t="s">
        <v>15</v>
      </c>
      <c r="AE13" s="17" t="s">
        <v>13</v>
      </c>
      <c r="AF13" s="17" t="s">
        <v>13</v>
      </c>
      <c r="AG13" s="17" t="s">
        <v>13</v>
      </c>
      <c r="AH13" s="18" t="s">
        <v>13</v>
      </c>
      <c r="AI13" s="19">
        <f t="shared" si="0"/>
        <v>2</v>
      </c>
      <c r="AJ13" s="19">
        <f t="shared" si="1"/>
        <v>0</v>
      </c>
      <c r="AK13" s="19">
        <f t="shared" si="2"/>
        <v>0</v>
      </c>
      <c r="AL13" s="19">
        <f t="shared" si="3"/>
        <v>2</v>
      </c>
    </row>
    <row r="14" spans="1:38" ht="15" customHeight="1" x14ac:dyDescent="0.25">
      <c r="A14" s="20">
        <v>8</v>
      </c>
      <c r="B14" s="21"/>
      <c r="C14" s="24" t="s">
        <v>21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 t="s">
        <v>13</v>
      </c>
      <c r="Q14" s="17" t="s">
        <v>13</v>
      </c>
      <c r="R14" s="17" t="s">
        <v>13</v>
      </c>
      <c r="S14" s="17" t="s">
        <v>13</v>
      </c>
      <c r="T14" s="17" t="s">
        <v>13</v>
      </c>
      <c r="U14" s="16"/>
      <c r="V14" s="16"/>
      <c r="W14" s="17" t="s">
        <v>13</v>
      </c>
      <c r="X14" s="17" t="s">
        <v>13</v>
      </c>
      <c r="Y14" s="17" t="s">
        <v>13</v>
      </c>
      <c r="Z14" s="17" t="s">
        <v>13</v>
      </c>
      <c r="AA14" s="17" t="s">
        <v>13</v>
      </c>
      <c r="AB14" s="16"/>
      <c r="AC14" s="16"/>
      <c r="AD14" s="17" t="s">
        <v>13</v>
      </c>
      <c r="AE14" s="17" t="s">
        <v>13</v>
      </c>
      <c r="AF14" s="17" t="s">
        <v>13</v>
      </c>
      <c r="AG14" s="17" t="s">
        <v>13</v>
      </c>
      <c r="AH14" s="18" t="s">
        <v>13</v>
      </c>
      <c r="AI14" s="19">
        <f t="shared" si="0"/>
        <v>0</v>
      </c>
      <c r="AJ14" s="19">
        <f t="shared" si="1"/>
        <v>0</v>
      </c>
      <c r="AK14" s="19">
        <f t="shared" si="2"/>
        <v>0</v>
      </c>
      <c r="AL14" s="19">
        <f t="shared" si="3"/>
        <v>0</v>
      </c>
    </row>
    <row r="15" spans="1:38" ht="15" customHeight="1" x14ac:dyDescent="0.25">
      <c r="A15" s="20">
        <v>9</v>
      </c>
      <c r="B15" s="21"/>
      <c r="C15" s="22" t="s">
        <v>22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7" t="s">
        <v>13</v>
      </c>
      <c r="Q15" s="17" t="s">
        <v>13</v>
      </c>
      <c r="R15" s="17" t="s">
        <v>13</v>
      </c>
      <c r="S15" s="17" t="s">
        <v>13</v>
      </c>
      <c r="T15" s="17" t="s">
        <v>13</v>
      </c>
      <c r="U15" s="16"/>
      <c r="V15" s="23"/>
      <c r="W15" s="17" t="s">
        <v>13</v>
      </c>
      <c r="X15" s="17" t="s">
        <v>13</v>
      </c>
      <c r="Y15" s="17" t="s">
        <v>13</v>
      </c>
      <c r="Z15" s="17" t="s">
        <v>13</v>
      </c>
      <c r="AA15" s="17" t="s">
        <v>13</v>
      </c>
      <c r="AB15" s="16"/>
      <c r="AC15" s="23"/>
      <c r="AD15" s="17" t="s">
        <v>13</v>
      </c>
      <c r="AE15" s="17" t="s">
        <v>13</v>
      </c>
      <c r="AF15" s="17" t="s">
        <v>13</v>
      </c>
      <c r="AG15" s="17" t="s">
        <v>13</v>
      </c>
      <c r="AH15" s="18" t="s">
        <v>13</v>
      </c>
      <c r="AI15" s="19">
        <f t="shared" si="0"/>
        <v>0</v>
      </c>
      <c r="AJ15" s="19">
        <f t="shared" si="1"/>
        <v>0</v>
      </c>
      <c r="AK15" s="19">
        <f t="shared" si="2"/>
        <v>0</v>
      </c>
      <c r="AL15" s="19">
        <f t="shared" si="3"/>
        <v>0</v>
      </c>
    </row>
    <row r="16" spans="1:38" ht="15" customHeight="1" thickBot="1" x14ac:dyDescent="0.3">
      <c r="A16" s="20">
        <v>10</v>
      </c>
      <c r="B16" s="21"/>
      <c r="C16" s="22" t="s">
        <v>23</v>
      </c>
      <c r="D16" s="16"/>
      <c r="E16" s="16"/>
      <c r="F16" s="16"/>
      <c r="G16" s="16"/>
      <c r="H16" s="16"/>
      <c r="I16" s="16"/>
      <c r="J16" s="16"/>
      <c r="K16" s="16"/>
      <c r="L16" s="16"/>
      <c r="M16" s="23"/>
      <c r="N16" s="16"/>
      <c r="O16" s="16"/>
      <c r="P16" s="17" t="s">
        <v>13</v>
      </c>
      <c r="Q16" s="17" t="s">
        <v>13</v>
      </c>
      <c r="R16" s="17" t="s">
        <v>13</v>
      </c>
      <c r="S16" s="17" t="s">
        <v>13</v>
      </c>
      <c r="T16" s="17" t="s">
        <v>13</v>
      </c>
      <c r="U16" s="16"/>
      <c r="V16" s="16"/>
      <c r="W16" s="17" t="s">
        <v>13</v>
      </c>
      <c r="X16" s="17" t="s">
        <v>13</v>
      </c>
      <c r="Y16" s="17" t="s">
        <v>13</v>
      </c>
      <c r="Z16" s="17" t="s">
        <v>13</v>
      </c>
      <c r="AA16" s="17" t="s">
        <v>13</v>
      </c>
      <c r="AB16" s="16"/>
      <c r="AC16" s="16"/>
      <c r="AD16" s="17" t="s">
        <v>13</v>
      </c>
      <c r="AE16" s="17" t="s">
        <v>13</v>
      </c>
      <c r="AF16" s="17" t="s">
        <v>13</v>
      </c>
      <c r="AG16" s="17" t="s">
        <v>13</v>
      </c>
      <c r="AH16" s="18" t="s">
        <v>13</v>
      </c>
      <c r="AI16" s="19">
        <f t="shared" si="0"/>
        <v>0</v>
      </c>
      <c r="AJ16" s="19">
        <f t="shared" si="1"/>
        <v>0</v>
      </c>
      <c r="AK16" s="19">
        <f t="shared" si="2"/>
        <v>0</v>
      </c>
      <c r="AL16" s="19">
        <f t="shared" si="3"/>
        <v>0</v>
      </c>
    </row>
    <row r="17" spans="1:38" ht="15" customHeight="1" x14ac:dyDescent="0.25">
      <c r="A17" s="13">
        <v>11</v>
      </c>
      <c r="B17" s="21"/>
      <c r="C17" s="24" t="s">
        <v>24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7" t="s">
        <v>13</v>
      </c>
      <c r="Q17" s="17" t="s">
        <v>13</v>
      </c>
      <c r="R17" s="17" t="s">
        <v>13</v>
      </c>
      <c r="S17" s="17" t="s">
        <v>13</v>
      </c>
      <c r="T17" s="17" t="s">
        <v>13</v>
      </c>
      <c r="U17" s="16"/>
      <c r="V17" s="23"/>
      <c r="W17" s="17" t="s">
        <v>13</v>
      </c>
      <c r="X17" s="17" t="s">
        <v>13</v>
      </c>
      <c r="Y17" s="17" t="s">
        <v>13</v>
      </c>
      <c r="Z17" s="17" t="s">
        <v>13</v>
      </c>
      <c r="AA17" s="17" t="s">
        <v>13</v>
      </c>
      <c r="AB17" s="16"/>
      <c r="AC17" s="23"/>
      <c r="AD17" s="17" t="s">
        <v>13</v>
      </c>
      <c r="AE17" s="17" t="s">
        <v>13</v>
      </c>
      <c r="AF17" s="17" t="s">
        <v>13</v>
      </c>
      <c r="AG17" s="17" t="s">
        <v>13</v>
      </c>
      <c r="AH17" s="18" t="s">
        <v>13</v>
      </c>
      <c r="AI17" s="19">
        <f t="shared" si="0"/>
        <v>0</v>
      </c>
      <c r="AJ17" s="19">
        <f t="shared" si="1"/>
        <v>0</v>
      </c>
      <c r="AK17" s="19">
        <f t="shared" si="2"/>
        <v>0</v>
      </c>
      <c r="AL17" s="19">
        <f t="shared" si="3"/>
        <v>0</v>
      </c>
    </row>
    <row r="18" spans="1:38" ht="15" customHeight="1" x14ac:dyDescent="0.25">
      <c r="A18" s="20">
        <v>12</v>
      </c>
      <c r="B18" s="21"/>
      <c r="C18" s="22" t="s">
        <v>25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 t="s">
        <v>13</v>
      </c>
      <c r="Q18" s="17" t="s">
        <v>13</v>
      </c>
      <c r="R18" s="17" t="s">
        <v>13</v>
      </c>
      <c r="S18" s="17" t="s">
        <v>13</v>
      </c>
      <c r="T18" s="17" t="s">
        <v>13</v>
      </c>
      <c r="U18" s="16"/>
      <c r="V18" s="16"/>
      <c r="W18" s="17" t="s">
        <v>13</v>
      </c>
      <c r="X18" s="17" t="s">
        <v>13</v>
      </c>
      <c r="Y18" s="17" t="s">
        <v>13</v>
      </c>
      <c r="Z18" s="17" t="s">
        <v>13</v>
      </c>
      <c r="AA18" s="17" t="s">
        <v>13</v>
      </c>
      <c r="AB18" s="16"/>
      <c r="AC18" s="16"/>
      <c r="AD18" s="17" t="s">
        <v>13</v>
      </c>
      <c r="AE18" s="17" t="s">
        <v>13</v>
      </c>
      <c r="AF18" s="17" t="s">
        <v>13</v>
      </c>
      <c r="AG18" s="17" t="s">
        <v>13</v>
      </c>
      <c r="AH18" s="18" t="s">
        <v>13</v>
      </c>
      <c r="AI18" s="19">
        <f t="shared" si="0"/>
        <v>0</v>
      </c>
      <c r="AJ18" s="19">
        <f t="shared" si="1"/>
        <v>0</v>
      </c>
      <c r="AK18" s="19">
        <f t="shared" si="2"/>
        <v>0</v>
      </c>
      <c r="AL18" s="19">
        <f t="shared" si="3"/>
        <v>0</v>
      </c>
    </row>
    <row r="19" spans="1:38" ht="15" customHeight="1" x14ac:dyDescent="0.25">
      <c r="A19" s="20">
        <v>13</v>
      </c>
      <c r="B19" s="21"/>
      <c r="C19" s="24" t="s">
        <v>26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7" t="s">
        <v>13</v>
      </c>
      <c r="Q19" s="17" t="s">
        <v>13</v>
      </c>
      <c r="R19" s="17" t="s">
        <v>13</v>
      </c>
      <c r="S19" s="17" t="s">
        <v>13</v>
      </c>
      <c r="T19" s="17" t="s">
        <v>13</v>
      </c>
      <c r="U19" s="16"/>
      <c r="V19" s="23"/>
      <c r="W19" s="17" t="s">
        <v>13</v>
      </c>
      <c r="X19" s="17" t="s">
        <v>13</v>
      </c>
      <c r="Y19" s="17" t="s">
        <v>13</v>
      </c>
      <c r="Z19" s="17" t="s">
        <v>13</v>
      </c>
      <c r="AA19" s="17" t="s">
        <v>13</v>
      </c>
      <c r="AB19" s="16"/>
      <c r="AC19" s="23"/>
      <c r="AD19" s="17" t="s">
        <v>13</v>
      </c>
      <c r="AE19" s="17" t="s">
        <v>13</v>
      </c>
      <c r="AF19" s="17" t="s">
        <v>13</v>
      </c>
      <c r="AG19" s="17" t="s">
        <v>13</v>
      </c>
      <c r="AH19" s="18" t="s">
        <v>13</v>
      </c>
      <c r="AI19" s="19">
        <f t="shared" si="0"/>
        <v>0</v>
      </c>
      <c r="AJ19" s="19">
        <f t="shared" si="1"/>
        <v>0</v>
      </c>
      <c r="AK19" s="19">
        <f t="shared" si="2"/>
        <v>0</v>
      </c>
      <c r="AL19" s="19">
        <f t="shared" si="3"/>
        <v>0</v>
      </c>
    </row>
    <row r="20" spans="1:38" ht="15" customHeight="1" x14ac:dyDescent="0.25">
      <c r="A20" s="20">
        <v>14</v>
      </c>
      <c r="B20" s="21"/>
      <c r="C20" s="24" t="s">
        <v>27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 t="s">
        <v>13</v>
      </c>
      <c r="Q20" s="17" t="s">
        <v>13</v>
      </c>
      <c r="R20" s="17" t="s">
        <v>13</v>
      </c>
      <c r="S20" s="17" t="s">
        <v>13</v>
      </c>
      <c r="T20" s="17" t="s">
        <v>13</v>
      </c>
      <c r="U20" s="16"/>
      <c r="V20" s="16"/>
      <c r="W20" s="17" t="s">
        <v>13</v>
      </c>
      <c r="X20" s="17" t="s">
        <v>13</v>
      </c>
      <c r="Y20" s="17" t="s">
        <v>13</v>
      </c>
      <c r="Z20" s="17" t="s">
        <v>13</v>
      </c>
      <c r="AA20" s="17" t="s">
        <v>13</v>
      </c>
      <c r="AB20" s="16"/>
      <c r="AC20" s="16"/>
      <c r="AD20" s="17" t="s">
        <v>13</v>
      </c>
      <c r="AE20" s="17" t="s">
        <v>13</v>
      </c>
      <c r="AF20" s="17" t="s">
        <v>13</v>
      </c>
      <c r="AG20" s="17" t="s">
        <v>13</v>
      </c>
      <c r="AH20" s="18" t="s">
        <v>13</v>
      </c>
      <c r="AI20" s="19">
        <f t="shared" si="0"/>
        <v>0</v>
      </c>
      <c r="AJ20" s="19">
        <f t="shared" si="1"/>
        <v>0</v>
      </c>
      <c r="AK20" s="19">
        <f t="shared" si="2"/>
        <v>0</v>
      </c>
      <c r="AL20" s="19">
        <f t="shared" si="3"/>
        <v>0</v>
      </c>
    </row>
    <row r="21" spans="1:38" ht="15" customHeight="1" thickBot="1" x14ac:dyDescent="0.3">
      <c r="A21" s="20">
        <v>15</v>
      </c>
      <c r="B21" s="21"/>
      <c r="C21" s="24" t="s">
        <v>28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7" t="s">
        <v>13</v>
      </c>
      <c r="Q21" s="17" t="s">
        <v>13</v>
      </c>
      <c r="R21" s="17" t="s">
        <v>13</v>
      </c>
      <c r="S21" s="17" t="s">
        <v>13</v>
      </c>
      <c r="T21" s="17" t="s">
        <v>13</v>
      </c>
      <c r="U21" s="16"/>
      <c r="V21" s="23"/>
      <c r="W21" s="17" t="s">
        <v>13</v>
      </c>
      <c r="X21" s="17" t="s">
        <v>13</v>
      </c>
      <c r="Y21" s="17" t="s">
        <v>13</v>
      </c>
      <c r="Z21" s="17" t="s">
        <v>13</v>
      </c>
      <c r="AA21" s="17" t="s">
        <v>13</v>
      </c>
      <c r="AB21" s="16"/>
      <c r="AC21" s="23"/>
      <c r="AD21" s="17" t="s">
        <v>13</v>
      </c>
      <c r="AE21" s="17" t="s">
        <v>13</v>
      </c>
      <c r="AF21" s="17" t="s">
        <v>13</v>
      </c>
      <c r="AG21" s="17" t="s">
        <v>13</v>
      </c>
      <c r="AH21" s="18" t="s">
        <v>13</v>
      </c>
      <c r="AI21" s="19">
        <f t="shared" si="0"/>
        <v>0</v>
      </c>
      <c r="AJ21" s="19">
        <f t="shared" si="1"/>
        <v>0</v>
      </c>
      <c r="AK21" s="19">
        <f t="shared" si="2"/>
        <v>0</v>
      </c>
      <c r="AL21" s="19">
        <f t="shared" si="3"/>
        <v>0</v>
      </c>
    </row>
    <row r="22" spans="1:38" ht="15" customHeight="1" x14ac:dyDescent="0.25">
      <c r="A22" s="13">
        <v>16</v>
      </c>
      <c r="B22" s="21"/>
      <c r="C22" s="22" t="s">
        <v>29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 t="s">
        <v>13</v>
      </c>
      <c r="Q22" s="17" t="s">
        <v>13</v>
      </c>
      <c r="R22" s="17" t="s">
        <v>13</v>
      </c>
      <c r="S22" s="17" t="s">
        <v>13</v>
      </c>
      <c r="T22" s="17" t="s">
        <v>13</v>
      </c>
      <c r="U22" s="16"/>
      <c r="V22" s="16"/>
      <c r="W22" s="17" t="s">
        <v>13</v>
      </c>
      <c r="X22" s="17" t="s">
        <v>13</v>
      </c>
      <c r="Y22" s="17" t="s">
        <v>13</v>
      </c>
      <c r="Z22" s="17" t="s">
        <v>13</v>
      </c>
      <c r="AA22" s="17" t="s">
        <v>13</v>
      </c>
      <c r="AB22" s="16"/>
      <c r="AC22" s="16"/>
      <c r="AD22" s="17" t="s">
        <v>13</v>
      </c>
      <c r="AE22" s="17" t="s">
        <v>13</v>
      </c>
      <c r="AF22" s="17" t="s">
        <v>13</v>
      </c>
      <c r="AG22" s="17" t="s">
        <v>13</v>
      </c>
      <c r="AH22" s="18" t="s">
        <v>13</v>
      </c>
      <c r="AI22" s="19">
        <f t="shared" si="0"/>
        <v>0</v>
      </c>
      <c r="AJ22" s="19">
        <f t="shared" si="1"/>
        <v>0</v>
      </c>
      <c r="AK22" s="19">
        <f t="shared" si="2"/>
        <v>0</v>
      </c>
      <c r="AL22" s="19">
        <f t="shared" si="3"/>
        <v>0</v>
      </c>
    </row>
    <row r="23" spans="1:38" ht="15" customHeight="1" x14ac:dyDescent="0.25">
      <c r="A23" s="20">
        <v>17</v>
      </c>
      <c r="B23" s="21"/>
      <c r="C23" s="22" t="s">
        <v>30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17" t="s">
        <v>13</v>
      </c>
      <c r="Q23" s="17" t="s">
        <v>13</v>
      </c>
      <c r="R23" s="17" t="s">
        <v>13</v>
      </c>
      <c r="S23" s="17" t="s">
        <v>13</v>
      </c>
      <c r="T23" s="17" t="s">
        <v>13</v>
      </c>
      <c r="U23" s="16"/>
      <c r="V23" s="23"/>
      <c r="W23" s="17" t="s">
        <v>13</v>
      </c>
      <c r="X23" s="17" t="s">
        <v>13</v>
      </c>
      <c r="Y23" s="17" t="s">
        <v>13</v>
      </c>
      <c r="Z23" s="17" t="s">
        <v>13</v>
      </c>
      <c r="AA23" s="17" t="s">
        <v>13</v>
      </c>
      <c r="AB23" s="16"/>
      <c r="AC23" s="23"/>
      <c r="AD23" s="17" t="s">
        <v>13</v>
      </c>
      <c r="AE23" s="17" t="s">
        <v>13</v>
      </c>
      <c r="AF23" s="17" t="s">
        <v>13</v>
      </c>
      <c r="AG23" s="17" t="s">
        <v>13</v>
      </c>
      <c r="AH23" s="18" t="s">
        <v>13</v>
      </c>
      <c r="AI23" s="19">
        <f t="shared" si="0"/>
        <v>0</v>
      </c>
      <c r="AJ23" s="19">
        <f t="shared" si="1"/>
        <v>0</v>
      </c>
      <c r="AK23" s="19">
        <f t="shared" si="2"/>
        <v>0</v>
      </c>
      <c r="AL23" s="19">
        <f t="shared" si="3"/>
        <v>0</v>
      </c>
    </row>
    <row r="24" spans="1:38" ht="15" customHeight="1" x14ac:dyDescent="0.25">
      <c r="A24" s="20">
        <v>18</v>
      </c>
      <c r="B24" s="21"/>
      <c r="C24" s="24" t="s">
        <v>31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 t="s">
        <v>13</v>
      </c>
      <c r="Q24" s="17" t="s">
        <v>13</v>
      </c>
      <c r="R24" s="17" t="s">
        <v>13</v>
      </c>
      <c r="S24" s="17" t="s">
        <v>13</v>
      </c>
      <c r="T24" s="17" t="s">
        <v>13</v>
      </c>
      <c r="U24" s="16"/>
      <c r="V24" s="16"/>
      <c r="W24" s="17" t="s">
        <v>13</v>
      </c>
      <c r="X24" s="17" t="s">
        <v>13</v>
      </c>
      <c r="Y24" s="17" t="s">
        <v>13</v>
      </c>
      <c r="Z24" s="17" t="s">
        <v>13</v>
      </c>
      <c r="AA24" s="17" t="s">
        <v>13</v>
      </c>
      <c r="AB24" s="16"/>
      <c r="AC24" s="16"/>
      <c r="AD24" s="17" t="s">
        <v>13</v>
      </c>
      <c r="AE24" s="17" t="s">
        <v>13</v>
      </c>
      <c r="AF24" s="17" t="s">
        <v>13</v>
      </c>
      <c r="AG24" s="17" t="s">
        <v>13</v>
      </c>
      <c r="AH24" s="18" t="s">
        <v>13</v>
      </c>
      <c r="AI24" s="19">
        <f t="shared" si="0"/>
        <v>0</v>
      </c>
      <c r="AJ24" s="19">
        <f t="shared" si="1"/>
        <v>0</v>
      </c>
      <c r="AK24" s="19">
        <f t="shared" si="2"/>
        <v>0</v>
      </c>
      <c r="AL24" s="19">
        <f t="shared" si="3"/>
        <v>0</v>
      </c>
    </row>
    <row r="25" spans="1:38" ht="15" customHeight="1" x14ac:dyDescent="0.25">
      <c r="A25" s="20">
        <v>19</v>
      </c>
      <c r="B25" s="21"/>
      <c r="C25" s="24" t="s">
        <v>32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17" t="s">
        <v>13</v>
      </c>
      <c r="Q25" s="17" t="s">
        <v>13</v>
      </c>
      <c r="R25" s="17" t="s">
        <v>13</v>
      </c>
      <c r="S25" s="17" t="s">
        <v>13</v>
      </c>
      <c r="T25" s="17" t="s">
        <v>13</v>
      </c>
      <c r="U25" s="16"/>
      <c r="V25" s="23"/>
      <c r="W25" s="17" t="s">
        <v>13</v>
      </c>
      <c r="X25" s="17" t="s">
        <v>13</v>
      </c>
      <c r="Y25" s="17" t="s">
        <v>13</v>
      </c>
      <c r="Z25" s="17" t="s">
        <v>13</v>
      </c>
      <c r="AA25" s="17" t="s">
        <v>13</v>
      </c>
      <c r="AB25" s="16"/>
      <c r="AC25" s="23"/>
      <c r="AD25" s="17" t="s">
        <v>13</v>
      </c>
      <c r="AE25" s="17" t="s">
        <v>13</v>
      </c>
      <c r="AF25" s="17" t="s">
        <v>13</v>
      </c>
      <c r="AG25" s="17" t="s">
        <v>13</v>
      </c>
      <c r="AH25" s="18" t="s">
        <v>13</v>
      </c>
      <c r="AI25" s="19">
        <f t="shared" si="0"/>
        <v>0</v>
      </c>
      <c r="AJ25" s="19">
        <f t="shared" si="1"/>
        <v>0</v>
      </c>
      <c r="AK25" s="19">
        <f t="shared" si="2"/>
        <v>0</v>
      </c>
      <c r="AL25" s="19">
        <f t="shared" si="3"/>
        <v>0</v>
      </c>
    </row>
    <row r="26" spans="1:38" ht="15" customHeight="1" thickBot="1" x14ac:dyDescent="0.3">
      <c r="A26" s="20">
        <v>20</v>
      </c>
      <c r="B26" s="21"/>
      <c r="C26" s="24" t="s">
        <v>33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 t="s">
        <v>13</v>
      </c>
      <c r="Q26" s="17" t="s">
        <v>13</v>
      </c>
      <c r="R26" s="17" t="s">
        <v>13</v>
      </c>
      <c r="S26" s="17" t="s">
        <v>13</v>
      </c>
      <c r="T26" s="17" t="s">
        <v>13</v>
      </c>
      <c r="U26" s="16"/>
      <c r="V26" s="16"/>
      <c r="W26" s="17" t="s">
        <v>13</v>
      </c>
      <c r="X26" s="17" t="s">
        <v>13</v>
      </c>
      <c r="Y26" s="17" t="s">
        <v>13</v>
      </c>
      <c r="Z26" s="17" t="s">
        <v>13</v>
      </c>
      <c r="AA26" s="17" t="s">
        <v>13</v>
      </c>
      <c r="AB26" s="16"/>
      <c r="AC26" s="16"/>
      <c r="AD26" s="17" t="s">
        <v>13</v>
      </c>
      <c r="AE26" s="17" t="s">
        <v>13</v>
      </c>
      <c r="AF26" s="17" t="s">
        <v>13</v>
      </c>
      <c r="AG26" s="17" t="s">
        <v>13</v>
      </c>
      <c r="AH26" s="18" t="s">
        <v>13</v>
      </c>
      <c r="AI26" s="19">
        <f t="shared" si="0"/>
        <v>0</v>
      </c>
      <c r="AJ26" s="19">
        <f t="shared" si="1"/>
        <v>0</v>
      </c>
      <c r="AK26" s="19">
        <f t="shared" si="2"/>
        <v>0</v>
      </c>
      <c r="AL26" s="19">
        <f t="shared" si="3"/>
        <v>0</v>
      </c>
    </row>
    <row r="27" spans="1:38" ht="15" customHeight="1" x14ac:dyDescent="0.25">
      <c r="A27" s="13">
        <v>21</v>
      </c>
      <c r="B27" s="21"/>
      <c r="C27" s="24" t="s">
        <v>34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17" t="s">
        <v>13</v>
      </c>
      <c r="Q27" s="17" t="s">
        <v>13</v>
      </c>
      <c r="R27" s="17" t="s">
        <v>13</v>
      </c>
      <c r="S27" s="17" t="s">
        <v>13</v>
      </c>
      <c r="T27" s="17" t="s">
        <v>13</v>
      </c>
      <c r="U27" s="16"/>
      <c r="V27" s="23"/>
      <c r="W27" s="17" t="s">
        <v>13</v>
      </c>
      <c r="X27" s="17" t="s">
        <v>13</v>
      </c>
      <c r="Y27" s="17" t="s">
        <v>13</v>
      </c>
      <c r="Z27" s="17" t="s">
        <v>13</v>
      </c>
      <c r="AA27" s="17" t="s">
        <v>13</v>
      </c>
      <c r="AB27" s="16"/>
      <c r="AC27" s="23"/>
      <c r="AD27" s="17" t="s">
        <v>13</v>
      </c>
      <c r="AE27" s="17" t="s">
        <v>13</v>
      </c>
      <c r="AF27" s="17" t="s">
        <v>13</v>
      </c>
      <c r="AG27" s="17" t="s">
        <v>13</v>
      </c>
      <c r="AH27" s="18" t="s">
        <v>13</v>
      </c>
      <c r="AI27" s="19">
        <f t="shared" si="0"/>
        <v>0</v>
      </c>
      <c r="AJ27" s="19">
        <f t="shared" si="1"/>
        <v>0</v>
      </c>
      <c r="AK27" s="19">
        <f t="shared" si="2"/>
        <v>0</v>
      </c>
      <c r="AL27" s="19">
        <f t="shared" si="3"/>
        <v>0</v>
      </c>
    </row>
    <row r="28" spans="1:38" ht="15" customHeight="1" x14ac:dyDescent="0.25">
      <c r="A28" s="20">
        <v>22</v>
      </c>
      <c r="B28" s="21"/>
      <c r="C28" s="24" t="s">
        <v>35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 t="s">
        <v>13</v>
      </c>
      <c r="Q28" s="17" t="s">
        <v>13</v>
      </c>
      <c r="R28" s="17" t="s">
        <v>13</v>
      </c>
      <c r="S28" s="17" t="s">
        <v>13</v>
      </c>
      <c r="T28" s="17" t="s">
        <v>13</v>
      </c>
      <c r="U28" s="16"/>
      <c r="V28" s="16"/>
      <c r="W28" s="17" t="s">
        <v>13</v>
      </c>
      <c r="X28" s="17" t="s">
        <v>13</v>
      </c>
      <c r="Y28" s="17" t="s">
        <v>13</v>
      </c>
      <c r="Z28" s="17" t="s">
        <v>13</v>
      </c>
      <c r="AA28" s="17" t="s">
        <v>13</v>
      </c>
      <c r="AB28" s="16"/>
      <c r="AC28" s="16"/>
      <c r="AD28" s="17" t="s">
        <v>13</v>
      </c>
      <c r="AE28" s="17" t="s">
        <v>13</v>
      </c>
      <c r="AF28" s="17" t="s">
        <v>13</v>
      </c>
      <c r="AG28" s="17" t="s">
        <v>13</v>
      </c>
      <c r="AH28" s="18" t="s">
        <v>13</v>
      </c>
      <c r="AI28" s="19">
        <f t="shared" si="0"/>
        <v>0</v>
      </c>
      <c r="AJ28" s="19">
        <f t="shared" si="1"/>
        <v>0</v>
      </c>
      <c r="AK28" s="19">
        <f t="shared" si="2"/>
        <v>0</v>
      </c>
      <c r="AL28" s="19">
        <f t="shared" si="3"/>
        <v>0</v>
      </c>
    </row>
    <row r="29" spans="1:38" ht="15" customHeight="1" x14ac:dyDescent="0.25">
      <c r="A29" s="20">
        <v>23</v>
      </c>
      <c r="B29" s="21"/>
      <c r="C29" s="22" t="s">
        <v>36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17" t="s">
        <v>13</v>
      </c>
      <c r="Q29" s="17" t="s">
        <v>13</v>
      </c>
      <c r="R29" s="17" t="s">
        <v>13</v>
      </c>
      <c r="S29" s="17" t="s">
        <v>13</v>
      </c>
      <c r="T29" s="17" t="s">
        <v>13</v>
      </c>
      <c r="U29" s="16"/>
      <c r="V29" s="23"/>
      <c r="W29" s="17" t="s">
        <v>13</v>
      </c>
      <c r="X29" s="17" t="s">
        <v>13</v>
      </c>
      <c r="Y29" s="17" t="s">
        <v>13</v>
      </c>
      <c r="Z29" s="17" t="s">
        <v>13</v>
      </c>
      <c r="AA29" s="17" t="s">
        <v>13</v>
      </c>
      <c r="AB29" s="16"/>
      <c r="AC29" s="23"/>
      <c r="AD29" s="17" t="s">
        <v>13</v>
      </c>
      <c r="AE29" s="17" t="s">
        <v>13</v>
      </c>
      <c r="AF29" s="17" t="s">
        <v>13</v>
      </c>
      <c r="AG29" s="17" t="s">
        <v>13</v>
      </c>
      <c r="AH29" s="18" t="s">
        <v>13</v>
      </c>
      <c r="AI29" s="19">
        <f t="shared" si="0"/>
        <v>0</v>
      </c>
      <c r="AJ29" s="19">
        <f t="shared" si="1"/>
        <v>0</v>
      </c>
      <c r="AK29" s="19">
        <f t="shared" si="2"/>
        <v>0</v>
      </c>
      <c r="AL29" s="19">
        <f t="shared" si="3"/>
        <v>0</v>
      </c>
    </row>
    <row r="30" spans="1:38" ht="15" customHeight="1" x14ac:dyDescent="0.25">
      <c r="A30" s="20">
        <v>24</v>
      </c>
      <c r="B30" s="21"/>
      <c r="C30" s="22" t="s">
        <v>37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 t="s">
        <v>13</v>
      </c>
      <c r="Q30" s="17" t="s">
        <v>13</v>
      </c>
      <c r="R30" s="17" t="s">
        <v>13</v>
      </c>
      <c r="S30" s="17" t="s">
        <v>13</v>
      </c>
      <c r="T30" s="17" t="s">
        <v>13</v>
      </c>
      <c r="U30" s="16"/>
      <c r="V30" s="16"/>
      <c r="W30" s="17" t="s">
        <v>13</v>
      </c>
      <c r="X30" s="17" t="s">
        <v>15</v>
      </c>
      <c r="Y30" s="17" t="s">
        <v>13</v>
      </c>
      <c r="Z30" s="17" t="s">
        <v>13</v>
      </c>
      <c r="AA30" s="17" t="s">
        <v>13</v>
      </c>
      <c r="AB30" s="16"/>
      <c r="AC30" s="16"/>
      <c r="AD30" s="17" t="s">
        <v>13</v>
      </c>
      <c r="AE30" s="17" t="s">
        <v>13</v>
      </c>
      <c r="AF30" s="17" t="s">
        <v>13</v>
      </c>
      <c r="AG30" s="17" t="s">
        <v>13</v>
      </c>
      <c r="AH30" s="18" t="s">
        <v>13</v>
      </c>
      <c r="AI30" s="19">
        <f t="shared" si="0"/>
        <v>1</v>
      </c>
      <c r="AJ30" s="19">
        <f t="shared" si="1"/>
        <v>0</v>
      </c>
      <c r="AK30" s="19">
        <f t="shared" si="2"/>
        <v>0</v>
      </c>
      <c r="AL30" s="19">
        <f t="shared" si="3"/>
        <v>1</v>
      </c>
    </row>
    <row r="31" spans="1:38" ht="15" customHeight="1" thickBot="1" x14ac:dyDescent="0.3">
      <c r="A31" s="20">
        <v>25</v>
      </c>
      <c r="B31" s="21"/>
      <c r="C31" s="24" t="s">
        <v>38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7" t="s">
        <v>13</v>
      </c>
      <c r="Q31" s="17" t="s">
        <v>13</v>
      </c>
      <c r="R31" s="17" t="s">
        <v>13</v>
      </c>
      <c r="S31" s="17" t="s">
        <v>13</v>
      </c>
      <c r="T31" s="17" t="s">
        <v>13</v>
      </c>
      <c r="U31" s="16"/>
      <c r="V31" s="23"/>
      <c r="W31" s="17" t="s">
        <v>13</v>
      </c>
      <c r="X31" s="17" t="s">
        <v>13</v>
      </c>
      <c r="Y31" s="17" t="s">
        <v>13</v>
      </c>
      <c r="Z31" s="17" t="s">
        <v>13</v>
      </c>
      <c r="AA31" s="17" t="s">
        <v>13</v>
      </c>
      <c r="AB31" s="16"/>
      <c r="AC31" s="23"/>
      <c r="AD31" s="17" t="s">
        <v>13</v>
      </c>
      <c r="AE31" s="17" t="s">
        <v>13</v>
      </c>
      <c r="AF31" s="17" t="s">
        <v>13</v>
      </c>
      <c r="AG31" s="17" t="s">
        <v>13</v>
      </c>
      <c r="AH31" s="18" t="s">
        <v>13</v>
      </c>
      <c r="AI31" s="19">
        <f t="shared" si="0"/>
        <v>0</v>
      </c>
      <c r="AJ31" s="19">
        <f t="shared" si="1"/>
        <v>0</v>
      </c>
      <c r="AK31" s="19">
        <f t="shared" si="2"/>
        <v>0</v>
      </c>
      <c r="AL31" s="19">
        <f t="shared" si="3"/>
        <v>0</v>
      </c>
    </row>
    <row r="32" spans="1:38" ht="15" customHeight="1" x14ac:dyDescent="0.25">
      <c r="A32" s="13">
        <v>26</v>
      </c>
      <c r="B32" s="21"/>
      <c r="C32" s="22" t="s">
        <v>39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 t="s">
        <v>13</v>
      </c>
      <c r="Q32" s="17" t="s">
        <v>13</v>
      </c>
      <c r="R32" s="17" t="s">
        <v>13</v>
      </c>
      <c r="S32" s="17" t="s">
        <v>13</v>
      </c>
      <c r="T32" s="17" t="s">
        <v>13</v>
      </c>
      <c r="U32" s="16"/>
      <c r="V32" s="16"/>
      <c r="W32" s="17" t="s">
        <v>13</v>
      </c>
      <c r="X32" s="17" t="s">
        <v>13</v>
      </c>
      <c r="Y32" s="17" t="s">
        <v>13</v>
      </c>
      <c r="Z32" s="17" t="s">
        <v>13</v>
      </c>
      <c r="AA32" s="17" t="s">
        <v>13</v>
      </c>
      <c r="AB32" s="16"/>
      <c r="AC32" s="16"/>
      <c r="AD32" s="17" t="s">
        <v>13</v>
      </c>
      <c r="AE32" s="17" t="s">
        <v>13</v>
      </c>
      <c r="AF32" s="17" t="s">
        <v>13</v>
      </c>
      <c r="AG32" s="17" t="s">
        <v>13</v>
      </c>
      <c r="AH32" s="18" t="s">
        <v>13</v>
      </c>
      <c r="AI32" s="19">
        <f t="shared" si="0"/>
        <v>0</v>
      </c>
      <c r="AJ32" s="19">
        <f t="shared" si="1"/>
        <v>0</v>
      </c>
      <c r="AK32" s="19">
        <f t="shared" si="2"/>
        <v>0</v>
      </c>
      <c r="AL32" s="19">
        <f t="shared" si="3"/>
        <v>0</v>
      </c>
    </row>
    <row r="33" spans="1:38" ht="15" customHeight="1" thickBot="1" x14ac:dyDescent="0.3">
      <c r="A33" s="20">
        <v>27</v>
      </c>
      <c r="B33" s="21"/>
      <c r="C33" s="24" t="s">
        <v>40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 t="s">
        <v>13</v>
      </c>
      <c r="Q33" s="17" t="s">
        <v>13</v>
      </c>
      <c r="R33" s="17" t="s">
        <v>13</v>
      </c>
      <c r="S33" s="17" t="s">
        <v>13</v>
      </c>
      <c r="T33" s="17" t="s">
        <v>13</v>
      </c>
      <c r="U33" s="16"/>
      <c r="V33" s="16"/>
      <c r="W33" s="17" t="s">
        <v>13</v>
      </c>
      <c r="X33" s="17" t="s">
        <v>13</v>
      </c>
      <c r="Y33" s="17" t="s">
        <v>13</v>
      </c>
      <c r="Z33" s="17" t="s">
        <v>13</v>
      </c>
      <c r="AA33" s="17" t="s">
        <v>13</v>
      </c>
      <c r="AB33" s="16"/>
      <c r="AC33" s="16"/>
      <c r="AD33" s="17" t="s">
        <v>13</v>
      </c>
      <c r="AE33" s="17" t="s">
        <v>13</v>
      </c>
      <c r="AF33" s="17" t="s">
        <v>13</v>
      </c>
      <c r="AG33" s="17" t="s">
        <v>13</v>
      </c>
      <c r="AH33" s="18" t="s">
        <v>13</v>
      </c>
      <c r="AI33" s="19">
        <f t="shared" si="0"/>
        <v>0</v>
      </c>
      <c r="AJ33" s="19">
        <f t="shared" si="1"/>
        <v>0</v>
      </c>
      <c r="AK33" s="19">
        <f t="shared" si="2"/>
        <v>0</v>
      </c>
      <c r="AL33" s="19">
        <f t="shared" si="3"/>
        <v>0</v>
      </c>
    </row>
    <row r="34" spans="1:38" ht="15" customHeight="1" x14ac:dyDescent="0.25">
      <c r="A34" s="13">
        <v>28</v>
      </c>
      <c r="B34" s="21"/>
      <c r="C34" s="24" t="s">
        <v>41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 t="s">
        <v>13</v>
      </c>
      <c r="Q34" s="17" t="s">
        <v>13</v>
      </c>
      <c r="R34" s="17" t="s">
        <v>13</v>
      </c>
      <c r="S34" s="17" t="s">
        <v>13</v>
      </c>
      <c r="T34" s="17" t="s">
        <v>13</v>
      </c>
      <c r="U34" s="16"/>
      <c r="V34" s="16"/>
      <c r="W34" s="17" t="s">
        <v>13</v>
      </c>
      <c r="X34" s="17" t="s">
        <v>13</v>
      </c>
      <c r="Y34" s="17" t="s">
        <v>13</v>
      </c>
      <c r="Z34" s="17" t="s">
        <v>13</v>
      </c>
      <c r="AA34" s="17" t="s">
        <v>13</v>
      </c>
      <c r="AB34" s="16"/>
      <c r="AC34" s="16"/>
      <c r="AD34" s="17" t="s">
        <v>13</v>
      </c>
      <c r="AE34" s="17" t="s">
        <v>13</v>
      </c>
      <c r="AF34" s="17" t="s">
        <v>13</v>
      </c>
      <c r="AG34" s="17" t="s">
        <v>13</v>
      </c>
      <c r="AH34" s="18" t="s">
        <v>13</v>
      </c>
      <c r="AI34" s="19">
        <f t="shared" si="0"/>
        <v>0</v>
      </c>
      <c r="AJ34" s="19">
        <f t="shared" si="1"/>
        <v>0</v>
      </c>
      <c r="AK34" s="19">
        <f t="shared" si="2"/>
        <v>0</v>
      </c>
      <c r="AL34" s="19">
        <f t="shared" si="3"/>
        <v>0</v>
      </c>
    </row>
    <row r="35" spans="1:38" ht="15" customHeight="1" x14ac:dyDescent="0.25">
      <c r="A35" s="20">
        <v>29</v>
      </c>
      <c r="B35" s="21"/>
      <c r="C35" s="22" t="s">
        <v>42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 t="s">
        <v>13</v>
      </c>
      <c r="Q35" s="17" t="s">
        <v>13</v>
      </c>
      <c r="R35" s="17" t="s">
        <v>13</v>
      </c>
      <c r="S35" s="17" t="s">
        <v>13</v>
      </c>
      <c r="T35" s="17" t="s">
        <v>13</v>
      </c>
      <c r="U35" s="16"/>
      <c r="V35" s="16"/>
      <c r="W35" s="17" t="s">
        <v>13</v>
      </c>
      <c r="X35" s="17" t="s">
        <v>13</v>
      </c>
      <c r="Y35" s="17" t="s">
        <v>13</v>
      </c>
      <c r="Z35" s="17" t="s">
        <v>13</v>
      </c>
      <c r="AA35" s="17" t="s">
        <v>13</v>
      </c>
      <c r="AB35" s="16"/>
      <c r="AC35" s="16"/>
      <c r="AD35" s="17" t="s">
        <v>13</v>
      </c>
      <c r="AE35" s="17" t="s">
        <v>13</v>
      </c>
      <c r="AF35" s="17" t="s">
        <v>13</v>
      </c>
      <c r="AG35" s="17" t="s">
        <v>13</v>
      </c>
      <c r="AH35" s="18" t="s">
        <v>13</v>
      </c>
      <c r="AI35" s="19">
        <f t="shared" si="0"/>
        <v>0</v>
      </c>
      <c r="AJ35" s="19">
        <f t="shared" si="1"/>
        <v>0</v>
      </c>
      <c r="AK35" s="19">
        <f t="shared" si="2"/>
        <v>0</v>
      </c>
      <c r="AL35" s="19">
        <f t="shared" si="3"/>
        <v>0</v>
      </c>
    </row>
    <row r="36" spans="1:38" ht="15" customHeight="1" x14ac:dyDescent="0.25">
      <c r="A36" s="20">
        <v>30</v>
      </c>
      <c r="B36" s="21"/>
      <c r="C36" s="22" t="s">
        <v>43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 t="s">
        <v>13</v>
      </c>
      <c r="Q36" s="17" t="s">
        <v>13</v>
      </c>
      <c r="R36" s="17" t="s">
        <v>13</v>
      </c>
      <c r="S36" s="17" t="s">
        <v>13</v>
      </c>
      <c r="T36" s="17" t="s">
        <v>13</v>
      </c>
      <c r="U36" s="16"/>
      <c r="V36" s="16"/>
      <c r="W36" s="17" t="s">
        <v>13</v>
      </c>
      <c r="X36" s="17" t="s">
        <v>13</v>
      </c>
      <c r="Y36" s="17" t="s">
        <v>13</v>
      </c>
      <c r="Z36" s="17" t="s">
        <v>13</v>
      </c>
      <c r="AA36" s="17" t="s">
        <v>13</v>
      </c>
      <c r="AB36" s="16"/>
      <c r="AC36" s="16"/>
      <c r="AD36" s="17" t="s">
        <v>13</v>
      </c>
      <c r="AE36" s="17" t="s">
        <v>13</v>
      </c>
      <c r="AF36" s="17" t="s">
        <v>13</v>
      </c>
      <c r="AG36" s="17" t="s">
        <v>13</v>
      </c>
      <c r="AH36" s="18" t="s">
        <v>13</v>
      </c>
      <c r="AI36" s="19">
        <f t="shared" si="0"/>
        <v>0</v>
      </c>
      <c r="AJ36" s="19">
        <f t="shared" si="1"/>
        <v>0</v>
      </c>
      <c r="AK36" s="19">
        <f t="shared" si="2"/>
        <v>0</v>
      </c>
      <c r="AL36" s="19">
        <f t="shared" si="3"/>
        <v>0</v>
      </c>
    </row>
    <row r="37" spans="1:38" ht="15" customHeight="1" x14ac:dyDescent="0.25">
      <c r="A37" s="20">
        <v>31</v>
      </c>
      <c r="B37" s="21"/>
      <c r="C37" s="24" t="s">
        <v>44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 t="s">
        <v>13</v>
      </c>
      <c r="Q37" s="17" t="s">
        <v>13</v>
      </c>
      <c r="R37" s="17" t="s">
        <v>13</v>
      </c>
      <c r="S37" s="17" t="s">
        <v>13</v>
      </c>
      <c r="T37" s="17" t="s">
        <v>13</v>
      </c>
      <c r="U37" s="16"/>
      <c r="V37" s="16"/>
      <c r="W37" s="17" t="s">
        <v>13</v>
      </c>
      <c r="X37" s="17" t="s">
        <v>13</v>
      </c>
      <c r="Y37" s="17" t="s">
        <v>13</v>
      </c>
      <c r="Z37" s="17" t="s">
        <v>13</v>
      </c>
      <c r="AA37" s="17" t="s">
        <v>13</v>
      </c>
      <c r="AB37" s="16"/>
      <c r="AC37" s="16"/>
      <c r="AD37" s="17" t="s">
        <v>13</v>
      </c>
      <c r="AE37" s="17" t="s">
        <v>13</v>
      </c>
      <c r="AF37" s="17" t="s">
        <v>13</v>
      </c>
      <c r="AG37" s="17" t="s">
        <v>13</v>
      </c>
      <c r="AH37" s="18" t="s">
        <v>13</v>
      </c>
      <c r="AI37" s="19">
        <f t="shared" si="0"/>
        <v>0</v>
      </c>
      <c r="AJ37" s="19">
        <f t="shared" si="1"/>
        <v>0</v>
      </c>
      <c r="AK37" s="19">
        <f t="shared" si="2"/>
        <v>0</v>
      </c>
      <c r="AL37" s="19">
        <f t="shared" si="3"/>
        <v>0</v>
      </c>
    </row>
    <row r="38" spans="1:38" ht="15" customHeight="1" x14ac:dyDescent="0.25">
      <c r="A38" s="20">
        <v>32</v>
      </c>
      <c r="B38" s="21"/>
      <c r="C38" s="24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25">
        <f>SUM(AI7:AI37)</f>
        <v>4</v>
      </c>
      <c r="AJ38" s="19">
        <f t="shared" ref="AJ38:AL38" si="4">SUM(AJ7:AJ37)</f>
        <v>0</v>
      </c>
      <c r="AK38" s="19">
        <f t="shared" si="4"/>
        <v>0</v>
      </c>
      <c r="AL38" s="19">
        <f t="shared" si="4"/>
        <v>4</v>
      </c>
    </row>
    <row r="39" spans="1:38" ht="10.15" customHeight="1" x14ac:dyDescent="0.25">
      <c r="A39" s="26"/>
      <c r="B39" s="27" t="s">
        <v>45</v>
      </c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1:38" x14ac:dyDescent="0.25">
      <c r="A40" s="26"/>
      <c r="B40" s="27" t="s">
        <v>46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8" t="s">
        <v>9</v>
      </c>
      <c r="T40" s="28" t="s">
        <v>47</v>
      </c>
      <c r="U40" s="29">
        <f>AI38*100</f>
        <v>400</v>
      </c>
      <c r="V40" s="29"/>
      <c r="W40" s="26"/>
      <c r="X40" s="26"/>
      <c r="Y40" s="26"/>
      <c r="Z40" s="26"/>
      <c r="AA40" s="26"/>
      <c r="AB40" s="27" t="s">
        <v>48</v>
      </c>
      <c r="AC40" s="27"/>
      <c r="AD40" s="27"/>
      <c r="AE40" s="27"/>
      <c r="AF40" s="27"/>
      <c r="AG40" s="27"/>
      <c r="AH40" s="27"/>
      <c r="AI40" s="30">
        <f>SUM(AI7:AI38)</f>
        <v>8</v>
      </c>
      <c r="AJ40" s="30">
        <f>SUM(AJ7:AJ38)</f>
        <v>0</v>
      </c>
      <c r="AK40" s="30">
        <f>SUM(AK7:AK38)</f>
        <v>0</v>
      </c>
      <c r="AL40" s="30">
        <f>SUM(AL7:AL38)</f>
        <v>8</v>
      </c>
    </row>
    <row r="41" spans="1:38" x14ac:dyDescent="0.25">
      <c r="A41" s="26"/>
      <c r="B41" s="27"/>
      <c r="C41" s="27"/>
      <c r="D41" s="27"/>
      <c r="E41" s="27"/>
      <c r="F41" s="27"/>
      <c r="G41" s="31" t="s">
        <v>49</v>
      </c>
      <c r="J41">
        <v>16</v>
      </c>
      <c r="K41" s="27"/>
      <c r="L41" s="27"/>
      <c r="M41" s="27"/>
      <c r="N41" s="27"/>
      <c r="O41" s="27"/>
      <c r="P41" s="27"/>
      <c r="Q41" s="27"/>
      <c r="R41" s="27"/>
      <c r="U41" t="s">
        <v>50</v>
      </c>
      <c r="V41">
        <v>14</v>
      </c>
      <c r="W41" s="28" t="s">
        <v>47</v>
      </c>
      <c r="X41" s="26">
        <f>U40/(31*V41)</f>
        <v>0.92165898617511521</v>
      </c>
      <c r="Y41" s="26" t="s">
        <v>51</v>
      </c>
      <c r="Z41" s="26"/>
      <c r="AA41" s="26"/>
      <c r="AB41" s="27" t="s">
        <v>52</v>
      </c>
      <c r="AC41" s="27"/>
      <c r="AD41" s="27"/>
      <c r="AE41" s="27"/>
      <c r="AF41" s="27"/>
      <c r="AG41" s="27"/>
      <c r="AH41" s="27"/>
      <c r="AI41" s="27"/>
      <c r="AJ41" s="27"/>
      <c r="AK41" s="26"/>
      <c r="AL41" s="26"/>
    </row>
    <row r="42" spans="1:38" x14ac:dyDescent="0.25">
      <c r="A42" s="26"/>
      <c r="B42" s="27"/>
      <c r="C42" s="27"/>
      <c r="D42" s="27"/>
      <c r="E42" s="27"/>
      <c r="F42" s="27"/>
      <c r="G42" s="31" t="s">
        <v>53</v>
      </c>
      <c r="J42" s="32">
        <v>15</v>
      </c>
      <c r="K42" s="27"/>
      <c r="L42" s="27"/>
      <c r="M42" s="27"/>
      <c r="N42" s="27"/>
      <c r="O42" s="27"/>
      <c r="P42" s="27"/>
      <c r="Q42" s="27"/>
      <c r="R42" s="27"/>
      <c r="V42" s="26"/>
      <c r="W42" s="26"/>
      <c r="X42" s="26"/>
      <c r="Y42" s="26"/>
      <c r="Z42" s="26"/>
      <c r="AA42" s="26"/>
      <c r="AB42" s="27"/>
      <c r="AC42" s="27"/>
      <c r="AD42" s="27"/>
      <c r="AE42" s="27"/>
      <c r="AF42" s="27"/>
      <c r="AG42" s="27"/>
      <c r="AH42" s="27"/>
      <c r="AI42" s="27"/>
      <c r="AJ42" s="27"/>
      <c r="AK42" s="26"/>
      <c r="AL42" s="26"/>
    </row>
    <row r="43" spans="1:38" x14ac:dyDescent="0.25">
      <c r="A43" s="26"/>
      <c r="B43" s="27"/>
      <c r="C43" s="27"/>
      <c r="D43" s="27"/>
      <c r="E43" s="27"/>
      <c r="F43" s="27"/>
      <c r="J43">
        <f>SUM(J41:J42)</f>
        <v>31</v>
      </c>
      <c r="K43" s="27"/>
      <c r="L43" s="27"/>
      <c r="M43" s="27"/>
      <c r="N43" s="27"/>
      <c r="O43" s="27"/>
      <c r="P43" s="27"/>
      <c r="Q43" s="27"/>
      <c r="R43" s="27"/>
      <c r="S43" s="33" t="s">
        <v>10</v>
      </c>
      <c r="T43" s="28" t="s">
        <v>47</v>
      </c>
      <c r="U43" s="29">
        <f>+AJ40*100</f>
        <v>0</v>
      </c>
      <c r="V43" s="29"/>
      <c r="W43" s="26"/>
      <c r="X43" s="26"/>
      <c r="Y43" s="26"/>
      <c r="Z43" s="26"/>
      <c r="AA43" s="26"/>
      <c r="AB43" s="27"/>
      <c r="AC43" s="27"/>
      <c r="AD43" s="27"/>
      <c r="AE43" s="27"/>
      <c r="AF43" s="27"/>
      <c r="AG43" s="27"/>
      <c r="AH43" s="27"/>
      <c r="AI43" s="27"/>
      <c r="AJ43" s="27"/>
      <c r="AK43" s="26"/>
      <c r="AL43" s="26"/>
    </row>
    <row r="44" spans="1:38" x14ac:dyDescent="0.25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U44" t="s">
        <v>54</v>
      </c>
      <c r="W44" s="28" t="s">
        <v>47</v>
      </c>
      <c r="X44" s="26">
        <f>U43/(31*V41)</f>
        <v>0</v>
      </c>
      <c r="Y44" s="26" t="s">
        <v>51</v>
      </c>
      <c r="Z44" s="26"/>
      <c r="AA44" s="26"/>
      <c r="AB44" s="27"/>
      <c r="AC44" s="27"/>
      <c r="AD44" s="27"/>
      <c r="AE44" s="27"/>
      <c r="AF44" s="27"/>
      <c r="AG44" s="27"/>
      <c r="AH44" s="27"/>
      <c r="AI44" s="27"/>
      <c r="AJ44" s="27"/>
      <c r="AK44" s="26"/>
      <c r="AL44" s="26"/>
    </row>
    <row r="45" spans="1:38" x14ac:dyDescent="0.25">
      <c r="A45" s="26"/>
      <c r="B45" s="27" t="s">
        <v>55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V45" s="26"/>
      <c r="W45" s="26"/>
      <c r="X45" s="26"/>
      <c r="Y45" s="26"/>
      <c r="Z45" s="26"/>
      <c r="AA45" s="26"/>
      <c r="AB45" s="34" t="s">
        <v>56</v>
      </c>
      <c r="AC45" s="27"/>
      <c r="AD45" s="27"/>
      <c r="AE45" s="27"/>
      <c r="AF45" s="27"/>
      <c r="AG45" s="27"/>
      <c r="AH45" s="27"/>
      <c r="AI45" s="27"/>
      <c r="AJ45" s="27"/>
      <c r="AK45" s="26"/>
      <c r="AL45" s="26"/>
    </row>
    <row r="46" spans="1:38" x14ac:dyDescent="0.25">
      <c r="A46" s="26"/>
      <c r="B46" s="27" t="s">
        <v>57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33" t="s">
        <v>11</v>
      </c>
      <c r="T46" s="35" t="s">
        <v>47</v>
      </c>
      <c r="U46" s="29">
        <f>+AK40*100</f>
        <v>0</v>
      </c>
      <c r="V46" s="29"/>
      <c r="W46" s="26"/>
      <c r="X46" s="26"/>
      <c r="Y46" s="26"/>
      <c r="Z46" s="26"/>
      <c r="AA46" s="26"/>
      <c r="AB46" s="34" t="s">
        <v>58</v>
      </c>
      <c r="AC46" s="27"/>
      <c r="AD46" s="27"/>
      <c r="AE46" s="27"/>
      <c r="AF46" s="27"/>
      <c r="AG46" s="27"/>
      <c r="AH46" s="27"/>
      <c r="AI46" s="27"/>
      <c r="AJ46" s="27"/>
      <c r="AK46" s="26"/>
      <c r="AL46" s="26"/>
    </row>
    <row r="47" spans="1:38" x14ac:dyDescent="0.25">
      <c r="A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U47" t="s">
        <v>59</v>
      </c>
      <c r="W47" s="28" t="s">
        <v>47</v>
      </c>
      <c r="X47" s="26">
        <f>+(AI46*100)/(29*15)</f>
        <v>0</v>
      </c>
      <c r="Y47" s="26" t="s">
        <v>51</v>
      </c>
      <c r="Z47" s="26"/>
      <c r="AA47" s="26"/>
      <c r="AC47" s="27"/>
      <c r="AD47" s="27"/>
      <c r="AE47" s="27"/>
      <c r="AF47" s="27"/>
      <c r="AG47" s="27"/>
      <c r="AH47" s="27"/>
      <c r="AI47" s="27"/>
      <c r="AJ47" s="27"/>
      <c r="AK47" s="26"/>
      <c r="AL47" s="26"/>
    </row>
    <row r="48" spans="1:38" x14ac:dyDescent="0.25">
      <c r="U48" s="28"/>
    </row>
  </sheetData>
  <mergeCells count="9">
    <mergeCell ref="A1:AL1"/>
    <mergeCell ref="A2:AL2"/>
    <mergeCell ref="A3:AL3"/>
    <mergeCell ref="A5:A6"/>
    <mergeCell ref="B5:B6"/>
    <mergeCell ref="C5:C6"/>
    <mergeCell ref="D5:AH5"/>
    <mergeCell ref="AI5:AK5"/>
    <mergeCell ref="AL5:A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AbsenJuli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setyo pratomo</dc:creator>
  <cp:lastModifiedBy>hafiz setyo pratomo</cp:lastModifiedBy>
  <dcterms:created xsi:type="dcterms:W3CDTF">2026-08-26T15:20:04Z</dcterms:created>
  <dcterms:modified xsi:type="dcterms:W3CDTF">2026-08-26T15:21:00Z</dcterms:modified>
</cp:coreProperties>
</file>